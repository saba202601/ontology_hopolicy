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05dda4476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" sheetId="1" r:id="Re8f57e7b720c4241"/>
    <x:sheet xmlns:r="http://schemas.openxmlformats.org/officeDocument/2006/relationships" name="Classes" sheetId="2" r:id="R37c8ae89bcc24eca"/>
    <x:sheet xmlns:r="http://schemas.openxmlformats.org/officeDocument/2006/relationships" name="Relationships" sheetId="3" r:id="R6914e0fbb3aa44f2"/>
    <x:sheet xmlns:r="http://schemas.openxmlformats.org/officeDocument/2006/relationships" name="Rules" sheetId="4" r:id="R70007a70f2c347d9"/>
    <x:sheet xmlns:r="http://schemas.openxmlformats.org/officeDocument/2006/relationships" name="Sources" sheetId="5" r:id="R0b8cc035eb2548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E59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87b05c2d484105" /><Relationship Type="http://schemas.openxmlformats.org/officeDocument/2006/relationships/theme" Target="/xl/theme/theme1.xml" Id="R2547864660f84c68" /><Relationship Type="http://schemas.openxmlformats.org/officeDocument/2006/relationships/sharedStrings" Target="/xl/sharedStrings.xml" Id="R5873293434514a11" /><Relationship Type="http://schemas.openxmlformats.org/officeDocument/2006/relationships/worksheet" Target="/xl/worksheets/sheet1.xml" Id="Re8f57e7b720c4241" /><Relationship Type="http://schemas.openxmlformats.org/officeDocument/2006/relationships/worksheet" Target="/xl/worksheets/sheet2.xml" Id="R37c8ae89bcc24eca" /><Relationship Type="http://schemas.openxmlformats.org/officeDocument/2006/relationships/worksheet" Target="/xl/worksheets/sheet3.xml" Id="R6914e0fbb3aa44f2" /><Relationship Type="http://schemas.openxmlformats.org/officeDocument/2006/relationships/worksheet" Target="/xl/worksheets/sheet4.xml" Id="R70007a70f2c347d9" /><Relationship Type="http://schemas.openxmlformats.org/officeDocument/2006/relationships/worksheet" Target="/xl/worksheets/sheet5.xml" Id="R0b8cc035eb2548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29" hidden="0" customWidth="1"/>
    <x:col min="3" max="3" width="70" hidden="0" customWidth="1"/>
  </x:cols>
  <x:sheetData>
    <x:row r="1" ht="30" customHeight="1">
      <x:c r="A1" s="5" t="str">
        <x:v>Policy input</x:v>
      </x:c>
      <x:c r="B1" s="5" t="str">
        <x:v>Value</x:v>
      </x:c>
      <x:c r="C1" s="5" t="str">
        <x:v>Context</x:v>
      </x:c>
    </x:row>
    <x:row r="2" ht="48" customHeight="1">
      <x:c r="A2" s="3" t="str">
        <x:v>Policy ID</x:v>
      </x:c>
      <x:c r="B2" s="3" t="str">
        <x:v>DEMO-FL-001</x:v>
      </x:c>
      <x:c r="C2" s="3" t="str">
        <x:v>Fictional HO-3 style illustration</x:v>
      </x:c>
    </x:row>
    <x:row r="3" ht="48" customHeight="1">
      <x:c r="A3" s="3" t="str">
        <x:v>Homeowner</x:v>
      </x:c>
      <x:c r="B3" s="3" t="str">
        <x:v>Alex Morgan</x:v>
      </x:c>
      <x:c r="C3" s="3" t="str">
        <x:v>Fictional person; Florida owner-occupied dwelling</x:v>
      </x:c>
    </x:row>
    <x:row r="4" ht="48" customHeight="1">
      <x:c r="A4" s="3" t="str">
        <x:v>A Dwelling</x:v>
      </x:c>
      <x:c r="B4" s="8" t="n">
        <x:v>400000</x:v>
      </x:c>
      <x:c r="C4" s="3" t="str">
        <x:v>Replacement cost assumed; policy conditions apply</x:v>
      </x:c>
    </x:row>
    <x:row r="5" ht="48" customHeight="1">
      <x:c r="A5" s="3" t="str">
        <x:v>B Other structures</x:v>
      </x:c>
      <x:c r="B5" s="8" t="n">
        <x:v>40000</x:v>
      </x:c>
      <x:c r="C5" s="3" t="str">
        <x:v>Illustrative selected limit</x:v>
      </x:c>
    </x:row>
    <x:row r="6" ht="48" customHeight="1">
      <x:c r="A6" s="3" t="str">
        <x:v>C Personal property</x:v>
      </x:c>
      <x:c r="B6" s="8" t="n">
        <x:v>200000</x:v>
      </x:c>
      <x:c r="C6" s="3" t="str">
        <x:v>Actual cash value assumed; endorsement not confirmed</x:v>
      </x:c>
    </x:row>
    <x:row r="7" ht="48" customHeight="1">
      <x:c r="A7" s="3" t="str">
        <x:v>D Loss of use</x:v>
      </x:c>
      <x:c r="B7" s="8" t="n">
        <x:v>80000</x:v>
      </x:c>
      <x:c r="C7" s="3" t="str">
        <x:v>Covered loss and policy conditions required</x:v>
      </x:c>
    </x:row>
    <x:row r="8" ht="48" customHeight="1">
      <x:c r="A8" s="3" t="str">
        <x:v>E Personal liability</x:v>
      </x:c>
      <x:c r="B8" s="8" t="n">
        <x:v>300000</x:v>
      </x:c>
      <x:c r="C8" s="3" t="str">
        <x:v>Per occurrence assumed</x:v>
      </x:c>
    </x:row>
    <x:row r="9" ht="48" customHeight="1">
      <x:c r="A9" s="3" t="str">
        <x:v>F Medical payments to others</x:v>
      </x:c>
      <x:c r="B9" s="8" t="n">
        <x:v>5000</x:v>
      </x:c>
      <x:c r="C9" s="3" t="str">
        <x:v>Per person assumed</x:v>
      </x:c>
    </x:row>
    <x:row r="10" ht="48" customHeight="1">
      <x:c r="A10" s="3" t="str">
        <x:v>Hurricane rate</x:v>
      </x:c>
      <x:c r="B10" s="9" t="n">
        <x:v>0.02</x:v>
      </x:c>
      <x:c r="C10" s="3" t="str">
        <x:v>Illustrative selection; source S2 explains the concept</x:v>
      </x:c>
    </x:row>
    <x:row r="11" ht="48" customHeight="1">
      <x:c r="A11" s="3" t="str">
        <x:v>All-other-perils deductible</x:v>
      </x:c>
      <x:c r="B11" s="8" t="n">
        <x:v>2500</x:v>
      </x:c>
      <x:c r="C11" s="3" t="str">
        <x:v>Illustrative selected amount</x:v>
      </x:c>
    </x:row>
    <x:row r="12" ht="48" customHeight="1">
      <x:c r="A12" s="3" t="str">
        <x:v>Annual hurricane deductible</x:v>
      </x:c>
      <x:c r="B12" s="6" t="n">
        <x:f>B4*B10</x:f>
        <x:v>8000</x:v>
      </x:c>
      <x:c r="C12" s="3" t="str">
        <x:v>Dwelling limit multiplied by selected percentage</x:v>
      </x:c>
    </x:row>
    <x:row r="13" ht="48" customHeight="1">
      <x:c r="A13" s="3" t="str">
        <x:v>Prior hurricane credit</x:v>
      </x:c>
      <x:c r="B13" s="8" t="n">
        <x:v>3000</x:v>
      </x:c>
      <x:c r="C13" s="3" t="str">
        <x:v>Insurer-confirmed credit assumed for subsequent scenario</x:v>
      </x:c>
    </x:row>
    <x:row r="14" ht="48" customHeight="1">
      <x:c r="A14" s="3" t="str">
        <x:v>Remaining hurricane deductible</x:v>
      </x:c>
      <x:c r="B14" s="6" t="n">
        <x:f>MAX(0,B12-B13)</x:f>
        <x:v>5000</x:v>
      </x:c>
      <x:c r="C14" s="3" t="str">
        <x:v>Same calendar year, insurer group and dwelling limit</x:v>
      </x:c>
    </x:row>
    <x:row r="15" ht="48" customHeight="1">
      <x:c r="A15" s="3" t="str">
        <x:v>Subsequent applicable deductible</x:v>
      </x:c>
      <x:c r="B15" s="6" t="n">
        <x:f>MAX(B14,B11)</x:f>
        <x:v>5000</x:v>
      </x:c>
      <x:c r="C15" s="3" t="str">
        <x:v>Greater of remaining hurricane deductible and AOP</x:v>
      </x:c>
    </x:row>
    <x:row r="16" ht="48" customHeight="1">
      <x:c r="A16" s="3" t="str">
        <x:v>Hypothetical covered loss</x:v>
      </x:c>
      <x:c r="B16" s="8" t="n">
        <x:v>30000</x:v>
      </x:c>
      <x:c r="C16" s="3" t="str">
        <x:v>Below dwelling limit; no depreciation or settlement adjustments</x:v>
      </x:c>
    </x:row>
    <x:row r="17" ht="48" customHeight="1">
      <x:c r="A17" s="3" t="str">
        <x:v>Loss less subsequent deductible</x:v>
      </x:c>
      <x:c r="B17" s="6" t="n">
        <x:f>MAX(0,B16-B15)</x:f>
        <x:v>25000</x:v>
      </x:c>
      <x:c r="C17" s="3" t="str">
        <x:v>Arithmetic only; not an insurer payment estimate</x:v>
      </x:c>
    </x:row>
    <x:row r="18" ht="48" customHeight="1">
      <x:c r="A18" s="3" t="str">
        <x:v>Flood coverage</x:v>
      </x:c>
      <x:c r="B18" s="3" t="str">
        <x:v>Not included</x:v>
      </x:c>
      <x:c r="C18" s="3" t="str">
        <x:v>Discuss separate flood coverage; source S1</x:v>
      </x:c>
    </x:row>
    <x:row r="19" ht="48" customHeight="1">
      <x:c r="A19" s="3" t="str">
        <x:v>Use</x:v>
      </x:c>
      <x:c r="B19" s="3" t="str">
        <x:v>Educational demo</x:v>
      </x:c>
      <x:c r="C19" s="3" t="str">
        <x:v>Amber cells are editable inputs. Workbook does not sync with the app.</x:v>
      </x:c>
    </x:row>
    <x:row r="20" ht="40" customHeight="1">
      <x:c r="A20" s="10" t="str">
        <x:v>Input validation</x:v>
      </x:c>
      <x:c r="B20" s="10" t="str">
        <x:f>IF(OR(B4&lt;=0,B10&lt;0,B10&gt;1,B11&lt;0,B13&lt;0,B13&gt;B12,B16&lt;0,B16&gt;B4),"Check inputs","Inputs in range")</x:f>
        <x:v>Inputs in range</x:v>
      </x:c>
      <x:c r="C20" s="10" t="str">
        <x:v>Resolve before using the illustration.</x:v>
      </x:c>
    </x:row>
  </x:sheetData>
  <x:dataValidations count="1">
    <x:dataValidation type="list" sqref="B10">
      <x:formula1>"0.02,0.05,0.10"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88" hidden="0" customWidth="1"/>
  </x:cols>
  <x:sheetData>
    <x:row r="1" ht="30" customHeight="1">
      <x:c r="A1" s="5" t="str">
        <x:v>Class</x:v>
      </x:c>
      <x:c r="B1" s="5" t="str">
        <x:v>Definition</x:v>
      </x:c>
    </x:row>
    <x:row r="2" ht="48" customHeight="1">
      <x:c r="A2" s="3" t="str">
        <x:v>Homeowner</x:v>
      </x:c>
      <x:c r="B2" s="3" t="str">
        <x:v>Person named in the demonstration policy</x:v>
      </x:c>
    </x:row>
    <x:row r="3" ht="48" customHeight="1">
      <x:c r="A3" s="3" t="str">
        <x:v>Property</x:v>
      </x:c>
      <x:c r="B3" s="3" t="str">
        <x:v>Insured dwelling and its location</x:v>
      </x:c>
    </x:row>
    <x:row r="4" ht="48" customHeight="1">
      <x:c r="A4" s="3" t="str">
        <x:v>Policy</x:v>
      </x:c>
      <x:c r="B4" s="3" t="str">
        <x:v>Contract with effective dates and linked forms</x:v>
      </x:c>
    </x:row>
    <x:row r="5" ht="48" customHeight="1">
      <x:c r="A5" s="3" t="str">
        <x:v>Coverage</x:v>
      </x:c>
      <x:c r="B5" s="3" t="str">
        <x:v>Insuring agreement and its monetary limit</x:v>
      </x:c>
    </x:row>
    <x:row r="6" ht="48" customHeight="1">
      <x:c r="A6" s="3" t="str">
        <x:v>Deductible</x:v>
      </x:c>
      <x:c r="B6" s="3" t="str">
        <x:v>Insured share with amount, basis and application</x:v>
      </x:c>
    </x:row>
    <x:row r="7" ht="48" customHeight="1">
      <x:c r="A7" s="3" t="str">
        <x:v>Peril</x:v>
      </x:c>
      <x:c r="B7" s="3" t="str">
        <x:v>Cause of loss; separate from coverage</x:v>
      </x:c>
    </x:row>
    <x:row r="8" ht="48" customHeight="1">
      <x:c r="A8" s="3" t="str">
        <x:v>Exclusion</x:v>
      </x:c>
      <x:c r="B8" s="3" t="str">
        <x:v>Policy provision removing or restricting coverage</x:v>
      </x:c>
    </x:row>
    <x:row r="9" ht="48" customHeight="1">
      <x:c r="A9" s="3" t="str">
        <x:v>Endorsement</x:v>
      </x:c>
      <x:c r="B9" s="3" t="str">
        <x:v>Form modifying policy terms</x:v>
      </x:c>
    </x:row>
    <x:row r="10" ht="48" customHeight="1">
      <x:c r="A10" s="3" t="str">
        <x:v>ClaimScenario</x:v>
      </x:c>
      <x:c r="B10" s="3" t="str">
        <x:v>Hypothetical event, not a coverage determination</x:v>
      </x:c>
    </x:row>
    <x:row r="11" ht="48" customHeight="1">
      <x:c r="A11" s="3" t="str">
        <x:v>Source</x:v>
      </x:c>
      <x:c r="B11" s="3" t="str">
        <x:v>Evidence for a statement or rule</x:v>
      </x:c>
    </x:row>
    <x:row r="12" ht="48" customHeight="1">
      <x:c r="A12" s="3" t="str">
        <x:v>ReviewItem</x:v>
      </x:c>
      <x:c r="B12" s="3" t="str">
        <x:v>Unresolved question requiring policy evidence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8" hidden="0" customWidth="1"/>
  </x:cols>
  <x:sheetData>
    <x:row r="1" ht="30" customHeight="1">
      <x:c r="A1" s="5" t="str">
        <x:v>Domain</x:v>
      </x:c>
      <x:c r="B1" s="5" t="str">
        <x:v>Predicate</x:v>
      </x:c>
      <x:c r="C1" s="5" t="str">
        <x:v>Range</x:v>
      </x:c>
      <x:c r="D1" s="5" t="str">
        <x:v>Cardinality</x:v>
      </x:c>
    </x:row>
    <x:row r="2" ht="48" customHeight="1">
      <x:c r="A2" s="3" t="str">
        <x:v>Policy</x:v>
      </x:c>
      <x:c r="B2" s="3" t="str">
        <x:v>hasInsured</x:v>
      </x:c>
      <x:c r="C2" s="3" t="str">
        <x:v>Homeowner</x:v>
      </x:c>
      <x:c r="D2" s="3" t="str">
        <x:v>1..*</x:v>
      </x:c>
    </x:row>
    <x:row r="3" ht="48" customHeight="1">
      <x:c r="A3" s="3" t="str">
        <x:v>Policy</x:v>
      </x:c>
      <x:c r="B3" s="3" t="str">
        <x:v>insures</x:v>
      </x:c>
      <x:c r="C3" s="3" t="str">
        <x:v>Property</x:v>
      </x:c>
      <x:c r="D3" s="3" t="str">
        <x:v>1..*</x:v>
      </x:c>
    </x:row>
    <x:row r="4" ht="48" customHeight="1">
      <x:c r="A4" s="3" t="str">
        <x:v>Policy</x:v>
      </x:c>
      <x:c r="B4" s="3" t="str">
        <x:v>hasCoverage</x:v>
      </x:c>
      <x:c r="C4" s="3" t="str">
        <x:v>Coverage</x:v>
      </x:c>
      <x:c r="D4" s="3" t="str">
        <x:v>1..*</x:v>
      </x:c>
    </x:row>
    <x:row r="5" ht="48" customHeight="1">
      <x:c r="A5" s="3" t="str">
        <x:v>Policy</x:v>
      </x:c>
      <x:c r="B5" s="3" t="str">
        <x:v>hasDeductible</x:v>
      </x:c>
      <x:c r="C5" s="3" t="str">
        <x:v>Deductible</x:v>
      </x:c>
      <x:c r="D5" s="3" t="str">
        <x:v>0..*</x:v>
      </x:c>
    </x:row>
    <x:row r="6" ht="48" customHeight="1">
      <x:c r="A6" s="3" t="str">
        <x:v>Policy</x:v>
      </x:c>
      <x:c r="B6" s="3" t="str">
        <x:v>hasEndorsement</x:v>
      </x:c>
      <x:c r="C6" s="3" t="str">
        <x:v>Endorsement</x:v>
      </x:c>
      <x:c r="D6" s="3" t="str">
        <x:v>0..*</x:v>
      </x:c>
    </x:row>
    <x:row r="7" ht="48" customHeight="1">
      <x:c r="A7" s="3" t="str">
        <x:v>Policy</x:v>
      </x:c>
      <x:c r="B7" s="3" t="str">
        <x:v>hasExclusion</x:v>
      </x:c>
      <x:c r="C7" s="3" t="str">
        <x:v>Exclusion</x:v>
      </x:c>
      <x:c r="D7" s="3" t="str">
        <x:v>0..*</x:v>
      </x:c>
    </x:row>
    <x:row r="8" ht="48" customHeight="1">
      <x:c r="A8" s="3" t="str">
        <x:v>ClaimScenario</x:v>
      </x:c>
      <x:c r="B8" s="3" t="str">
        <x:v>affects</x:v>
      </x:c>
      <x:c r="C8" s="3" t="str">
        <x:v>Property</x:v>
      </x:c>
      <x:c r="D8" s="3" t="str">
        <x:v>1</x:v>
      </x:c>
    </x:row>
    <x:row r="9" ht="48" customHeight="1">
      <x:c r="A9" s="3" t="str">
        <x:v>ClaimScenario</x:v>
      </x:c>
      <x:c r="B9" s="3" t="str">
        <x:v>causedBy</x:v>
      </x:c>
      <x:c r="C9" s="3" t="str">
        <x:v>Peril</x:v>
      </x:c>
      <x:c r="D9" s="3" t="str">
        <x:v>1..*</x:v>
      </x:c>
    </x:row>
    <x:row r="10" ht="48" customHeight="1">
      <x:c r="A10" s="3" t="str">
        <x:v>Deductible</x:v>
      </x:c>
      <x:c r="B10" s="3" t="str">
        <x:v>appliesTo</x:v>
      </x:c>
      <x:c r="C10" s="3" t="str">
        <x:v>Peril</x:v>
      </x:c>
      <x:c r="D10" s="3" t="str">
        <x:v>1..*</x:v>
      </x:c>
    </x:row>
    <x:row r="11" ht="48" customHeight="1">
      <x:c r="A11" s="3" t="str">
        <x:v>ReviewItem</x:v>
      </x:c>
      <x:c r="B11" s="3" t="str">
        <x:v>supportedBy</x:v>
      </x:c>
      <x:c r="C11" s="3" t="str">
        <x:v>Source</x:v>
      </x:c>
      <x:c r="D11" s="3" t="str">
        <x:v>0..*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76" hidden="0" customWidth="1"/>
    <x:col min="4" max="4" width="27" hidden="0" customWidth="1"/>
  </x:cols>
  <x:sheetData>
    <x:row r="1" ht="30" customHeight="1">
      <x:c r="A1" s="5" t="str">
        <x:v>ID</x:v>
      </x:c>
      <x:c r="B1" s="5" t="str">
        <x:v>Scope</x:v>
      </x:c>
      <x:c r="C1" s="5" t="str">
        <x:v>Rule or review question</x:v>
      </x:c>
      <x:c r="D1" s="5" t="str">
        <x:v>Evidence</x:v>
      </x:c>
    </x:row>
    <x:row r="2" ht="48" customHeight="1">
      <x:c r="A2" s="3" t="str">
        <x:v>R1</x:v>
      </x:c>
      <x:c r="B2" s="3" t="str">
        <x:v>Demonstration</x:v>
      </x:c>
      <x:c r="C2" s="3" t="str">
        <x:v>All amounts, person and property are fictional. No carrier contract supplied.</x:v>
      </x:c>
      <x:c r="D2" s="3" t="str">
        <x:v>Demo assumption</x:v>
      </x:c>
    </x:row>
    <x:row r="3" ht="48" customHeight="1">
      <x:c r="A3" s="3" t="str">
        <x:v>R2</x:v>
      </x:c>
      <x:c r="B3" s="3" t="str">
        <x:v>Deductible</x:v>
      </x:c>
      <x:c r="C3" s="3" t="str">
        <x:v>Percentage hurricane deductible uses the dwelling limit.</x:v>
      </x:c>
      <x:c r="D3" s="3" t="str">
        <x:v>S2</x:v>
      </x:c>
    </x:row>
    <x:row r="4" ht="48" customHeight="1">
      <x:c r="A4" s="3" t="str">
        <x:v>R3</x:v>
      </x:c>
      <x:c r="B4" s="3" t="str">
        <x:v>Subsequent hurricane</x:v>
      </x:c>
      <x:c r="C4" s="3" t="str">
        <x:v>Use greater of remaining hurricane deductible and AOP; same year and insurer group assumed.</x:v>
      </x:c>
      <x:c r="D4" s="3" t="str">
        <x:v>S2</x:v>
      </x:c>
    </x:row>
    <x:row r="5" ht="48" customHeight="1">
      <x:c r="A5" s="3" t="str">
        <x:v>R4</x:v>
      </x:c>
      <x:c r="B5" s="3" t="str">
        <x:v>Flood</x:v>
      </x:c>
      <x:c r="C5" s="3" t="str">
        <x:v>Flood is not included in this demonstration homeowners policy.</x:v>
      </x:c>
      <x:c r="D5" s="3" t="str">
        <x:v>S1 / demo assumption</x:v>
      </x:c>
    </x:row>
    <x:row r="6" ht="48" customHeight="1">
      <x:c r="A6" s="3" t="str">
        <x:v>R5</x:v>
      </x:c>
      <x:c r="B6" s="3" t="str">
        <x:v>Coverage</x:v>
      </x:c>
      <x:c r="C6" s="3" t="str">
        <x:v>A peril alone does not establish coverage. Read forms, exclusions and endorsements.</x:v>
      </x:c>
      <x:c r="D6" s="3" t="str">
        <x:v>S1 / modeling rule</x:v>
      </x:c>
    </x:row>
    <x:row r="7" ht="48" customHeight="1">
      <x:c r="A7" s="3" t="str">
        <x:v>Q1</x:v>
      </x:c>
      <x:c r="B7" s="3" t="str">
        <x:v>Policy review</x:v>
      </x:c>
      <x:c r="C7" s="3" t="str">
        <x:v>Confirm wind coverage and all endorsements.</x:v>
      </x:c>
      <x:c r="D7" s="3" t="str">
        <x:v>Issued policy needed</x:v>
      </x:c>
    </x:row>
    <x:row r="8" ht="48" customHeight="1">
      <x:c r="A8" s="3" t="str">
        <x:v>Q2</x:v>
      </x:c>
      <x:c r="B8" s="3" t="str">
        <x:v>Policy review</x:v>
      </x:c>
      <x:c r="C8" s="3" t="str">
        <x:v>Obtain a current rebuilding-cost estimate.</x:v>
      </x:c>
      <x:c r="D8" s="3" t="str">
        <x:v>Issued policy needed</x:v>
      </x:c>
    </x:row>
    <x:row r="9" ht="48" customHeight="1">
      <x:c r="A9" s="3" t="str">
        <x:v>Q3</x:v>
      </x:c>
      <x:c r="B9" s="3" t="str">
        <x:v>Policy review</x:v>
      </x:c>
      <x:c r="C9" s="3" t="str">
        <x:v>Discuss separate flood coverage.</x:v>
      </x:c>
      <x:c r="D9" s="3" t="str">
        <x:v>Issued policy needed</x:v>
      </x:c>
    </x:row>
    <x:row r="10" ht="48" customHeight="1">
      <x:c r="A10" s="3" t="str">
        <x:v>Q4</x:v>
      </x:c>
      <x:c r="B10" s="3" t="str">
        <x:v>Policy review</x:v>
      </x:c>
      <x:c r="C10" s="3" t="str">
        <x:v>Confirm roof settlement terms and any roof deductible.</x:v>
      </x:c>
      <x:c r="D10" s="3" t="str">
        <x:v>Issued policy needed</x:v>
      </x:c>
    </x:row>
    <x:row r="11" ht="48" customHeight="1">
      <x:c r="A11" s="3" t="str">
        <x:v>Q5</x:v>
      </x:c>
      <x:c r="B11" s="3" t="str">
        <x:v>Policy review</x:v>
      </x:c>
      <x:c r="C11" s="3" t="str">
        <x:v>Confirm personal-property replacement-cost endorsement.</x:v>
      </x:c>
      <x:c r="D11" s="3" t="str">
        <x:v>Issued policy needed</x:v>
      </x:c>
    </x:row>
    <x:row r="12" ht="48" customHeight="1">
      <x:c r="A12" s="3" t="str">
        <x:v>Q6</x:v>
      </x:c>
      <x:c r="B12" s="3" t="str">
        <x:v>Policy review</x:v>
      </x:c>
      <x:c r="C12" s="3" t="str">
        <x:v>Verify prior hurricane deductible credit with insurer.</x:v>
      </x:c>
      <x:c r="D12" s="3" t="str">
        <x:v>Issued policy needed</x:v>
      </x:c>
    </x:row>
    <x:row r="13" ht="48" customHeight="1">
      <x:c r="A13" s="3" t="str">
        <x:v>R6</x:v>
      </x:c>
      <x:c r="B13" s="3" t="str">
        <x:v>Ontology</x:v>
      </x:c>
      <x:c r="C13" s="3" t="str">
        <x:v>Cardinalities describe design expectations; the Turtle file does not enforce them.</x:v>
      </x:c>
      <x:c r="D13" s="3" t="str">
        <x:v>Model design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88" hidden="0" customWidth="1"/>
    <x:col min="4" max="4" width="16" hidden="0" customWidth="1"/>
  </x:cols>
  <x:sheetData>
    <x:row r="1" ht="30" customHeight="1">
      <x:c r="A1" s="5" t="str">
        <x:v>ID</x:v>
      </x:c>
      <x:c r="B1" s="5" t="str">
        <x:v>Source</x:v>
      </x:c>
      <x:c r="C1" s="5" t="str">
        <x:v>URL</x:v>
      </x:c>
      <x:c r="D1" s="5" t="str">
        <x:v>Accessed</x:v>
      </x:c>
    </x:row>
    <x:row r="2" ht="48" customHeight="1">
      <x:c r="A2" s="3" t="str">
        <x:v>S1</x:v>
      </x:c>
      <x:c r="B2" s="3" t="str">
        <x:v>Florida DFS homeowners insurance overview</x:v>
      </x:c>
      <x:c r="C2" s="3" t="str">
        <x:v>https://www.myfloridacfo.com/division/consumers/understanding-insurance/homeownersinsuranceoverview</x:v>
      </x:c>
      <x:c r="D2" s="3" t="str">
        <x:v>2026-09-30</x:v>
      </x:c>
    </x:row>
    <x:row r="3" ht="48" customHeight="1">
      <x:c r="A3" s="3" t="str">
        <x:v>S2</x:v>
      </x:c>
      <x:c r="B3" s="3" t="str">
        <x:v>Florida DFS hurricane deductible</x:v>
      </x:c>
      <x:c r="C3" s="3" t="str">
        <x:v>https://www.myfloridacfo.com/division/consumers/consumerprotections/floridashurricanedeductible</x:v>
      </x:c>
      <x:c r="D3" s="3" t="str">
        <x:v>2026-09-30</x:v>
      </x:c>
    </x:row>
  </x:sheetData>
  <x:pageMargins left="0.7" right="0.7" top="0.75" bottom="0.75" header="0.3" footer="0.3"/>
</x:worksheet>
</file>